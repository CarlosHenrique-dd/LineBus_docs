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7BD8918F-D066-4591-8C20-997F045D888B}" xr6:coauthVersionLast="47" xr6:coauthVersionMax="47" xr10:uidLastSave="{00000000-0000-0000-0000-000000000000}"/>
  <bookViews>
    <workbookView xWindow="-120" yWindow="-120" windowWidth="20730" windowHeight="11160" xr2:uid="{4A200DF0-F2BC-4AF2-92FA-BCE4B3C3D5D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2" i="1" l="1"/>
  <c r="D54" i="1" s="1"/>
  <c r="F52" i="1"/>
  <c r="F50" i="1"/>
  <c r="F49" i="1"/>
  <c r="F48" i="1"/>
  <c r="F47" i="1"/>
  <c r="F46" i="1"/>
  <c r="F40" i="1"/>
  <c r="F39" i="1"/>
  <c r="F38" i="1"/>
  <c r="F37" i="1"/>
  <c r="F36" i="1"/>
  <c r="F35" i="1"/>
  <c r="F34" i="1"/>
  <c r="F33" i="1"/>
  <c r="F32" i="1"/>
  <c r="F27" i="1"/>
  <c r="F26" i="1"/>
  <c r="F25" i="1"/>
  <c r="F21" i="1"/>
  <c r="F20" i="1"/>
  <c r="F19" i="1"/>
</calcChain>
</file>

<file path=xl/sharedStrings.xml><?xml version="1.0" encoding="utf-8"?>
<sst xmlns="http://schemas.openxmlformats.org/spreadsheetml/2006/main" count="87" uniqueCount="63">
  <si>
    <t>Classificação dos atores:</t>
  </si>
  <si>
    <t>Atores</t>
  </si>
  <si>
    <t>Tipo</t>
  </si>
  <si>
    <t>Usuário</t>
  </si>
  <si>
    <t>Complexo</t>
  </si>
  <si>
    <t>Desenvolvedor</t>
  </si>
  <si>
    <t>Simples</t>
  </si>
  <si>
    <t>Classificação dos casos de uso:</t>
  </si>
  <si>
    <t>Caso de uso</t>
  </si>
  <si>
    <t>Trocar abas</t>
  </si>
  <si>
    <t>Exibir menu</t>
  </si>
  <si>
    <t>Selecionar Rota</t>
  </si>
  <si>
    <t>Pedir Modificaçao de Rotax'</t>
  </si>
  <si>
    <t>Cálculo do Use Case Points</t>
  </si>
  <si>
    <t>Cálculo dos valores dos atores</t>
  </si>
  <si>
    <t>Peso</t>
  </si>
  <si>
    <t>Qtd</t>
  </si>
  <si>
    <t>Total</t>
  </si>
  <si>
    <t>Médio</t>
  </si>
  <si>
    <t>UAW</t>
  </si>
  <si>
    <t>Cálculo dos valores dos casos de uso</t>
  </si>
  <si>
    <t>UUCW</t>
  </si>
  <si>
    <t>Cálculo dos Fatores Técnicos</t>
  </si>
  <si>
    <t>Fator</t>
  </si>
  <si>
    <t>Descrição do Fator</t>
  </si>
  <si>
    <t>Valor</t>
  </si>
  <si>
    <t>T1</t>
  </si>
  <si>
    <t>T2</t>
  </si>
  <si>
    <t>Tempo de resposta</t>
  </si>
  <si>
    <t>T3</t>
  </si>
  <si>
    <t>Eficiência</t>
  </si>
  <si>
    <t>T4</t>
  </si>
  <si>
    <t>Processamento complexo</t>
  </si>
  <si>
    <t>T5</t>
  </si>
  <si>
    <t>Código reutilizável</t>
  </si>
  <si>
    <t>T6</t>
  </si>
  <si>
    <t>T7</t>
  </si>
  <si>
    <t>Usabilidade</t>
  </si>
  <si>
    <t>T8</t>
  </si>
  <si>
    <t>Portabilidade</t>
  </si>
  <si>
    <t>T9</t>
  </si>
  <si>
    <t>Facilidade de Manutenção</t>
  </si>
  <si>
    <t>Acessos simultâneos (concorrência)</t>
  </si>
  <si>
    <t>Aspectos especiais de segurança</t>
  </si>
  <si>
    <t>SumTFactor:</t>
  </si>
  <si>
    <t>Soma</t>
  </si>
  <si>
    <t>Fator de ajuste ambiental:</t>
  </si>
  <si>
    <t>EF</t>
  </si>
  <si>
    <t>Cálculo dos Fatores Ambientais</t>
  </si>
  <si>
    <t>Descrição</t>
  </si>
  <si>
    <t>F1</t>
  </si>
  <si>
    <t>Familiar com o processo de desenvolvimento</t>
  </si>
  <si>
    <t>F2</t>
  </si>
  <si>
    <t xml:space="preserve">Experiência no domínio da aplicação </t>
  </si>
  <si>
    <t>F3</t>
  </si>
  <si>
    <t>Experiência em Orientação a Objetos</t>
  </si>
  <si>
    <t>F4</t>
  </si>
  <si>
    <t>F5</t>
  </si>
  <si>
    <t>Motivação</t>
  </si>
  <si>
    <t>Requisitos estáveis</t>
  </si>
  <si>
    <t>SumEFactor:</t>
  </si>
  <si>
    <t>Use Case Point:</t>
  </si>
  <si>
    <t>Calculo de UCP - Projeto LineBus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</si>
</sst>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name val="Arial"/>
      <family val="2"/>
      <charset val="1"/>
    </font>
    <font>
      <b/>
      <sz val="12"/>
      <name val="Arial"/>
      <family val="2"/>
    </font>
    <font>
      <b/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24"/>
      <color theme="1"/>
      <name val="Calibri"/>
      <family val="2"/>
      <scheme val="minor"/>
    </font>
    <font>
      <sz val="12"/>
      <color rgb="FFFF0000"/>
      <name val="Arial"/>
      <family val="2"/>
    </font>
    <font>
      <b/>
      <sz val="16"/>
      <name val="Arial"/>
      <family val="2"/>
      <charset val="1"/>
    </font>
    <font>
      <sz val="12"/>
      <name val="Arial"/>
      <family val="2"/>
    </font>
    <font>
      <b/>
      <sz val="1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7" fillId="0" borderId="0" xfId="0" applyFont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0" xfId="0" applyFont="1" applyAlignment="1">
      <alignment horizontal="center"/>
    </xf>
    <xf numFmtId="0" fontId="3" fillId="0" borderId="2" xfId="0" applyFont="1" applyBorder="1"/>
    <xf numFmtId="2" fontId="3" fillId="0" borderId="1" xfId="0" applyNumberFormat="1" applyFont="1" applyBorder="1"/>
    <xf numFmtId="0" fontId="8" fillId="0" borderId="1" xfId="0" applyFont="1" applyBorder="1"/>
    <xf numFmtId="0" fontId="9" fillId="0" borderId="0" xfId="0" applyFont="1" applyAlignment="1">
      <alignment horizontal="right"/>
    </xf>
    <xf numFmtId="2" fontId="9" fillId="0" borderId="0" xfId="0" applyNumberFormat="1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BF24-7D70-4A17-A2C8-2C11F24B59A5}">
  <dimension ref="B1:G54"/>
  <sheetViews>
    <sheetView tabSelected="1" workbookViewId="0">
      <selection activeCell="C2" sqref="C2"/>
    </sheetView>
  </sheetViews>
  <sheetFormatPr defaultRowHeight="15" x14ac:dyDescent="0.25"/>
  <cols>
    <col min="1" max="2" width="9.140625" customWidth="1"/>
    <col min="3" max="3" width="63.85546875" customWidth="1"/>
    <col min="4" max="4" width="11.5703125" customWidth="1"/>
  </cols>
  <sheetData>
    <row r="1" spans="3:6" ht="31.5" x14ac:dyDescent="0.5">
      <c r="C1" s="6" t="s">
        <v>62</v>
      </c>
    </row>
    <row r="3" spans="3:6" ht="15.75" x14ac:dyDescent="0.25">
      <c r="C3" s="2" t="s">
        <v>0</v>
      </c>
      <c r="D3" s="1"/>
    </row>
    <row r="4" spans="3:6" ht="15.75" x14ac:dyDescent="0.25">
      <c r="C4" s="3" t="s">
        <v>1</v>
      </c>
      <c r="D4" s="3" t="s">
        <v>2</v>
      </c>
    </row>
    <row r="5" spans="3:6" ht="15.75" x14ac:dyDescent="0.25">
      <c r="C5" s="4" t="s">
        <v>3</v>
      </c>
      <c r="D5" s="5" t="s">
        <v>4</v>
      </c>
    </row>
    <row r="6" spans="3:6" ht="15.75" x14ac:dyDescent="0.25">
      <c r="C6" s="4" t="s">
        <v>5</v>
      </c>
      <c r="D6" s="5" t="s">
        <v>6</v>
      </c>
    </row>
    <row r="8" spans="3:6" ht="15.75" x14ac:dyDescent="0.25">
      <c r="C8" s="2" t="s">
        <v>7</v>
      </c>
      <c r="D8" s="1"/>
    </row>
    <row r="9" spans="3:6" ht="15.75" x14ac:dyDescent="0.25">
      <c r="C9" s="3" t="s">
        <v>8</v>
      </c>
      <c r="D9" s="3" t="s">
        <v>2</v>
      </c>
    </row>
    <row r="10" spans="3:6" ht="15.75" x14ac:dyDescent="0.25">
      <c r="C10" s="4" t="s">
        <v>9</v>
      </c>
      <c r="D10" s="7" t="s">
        <v>6</v>
      </c>
    </row>
    <row r="11" spans="3:6" ht="15.75" x14ac:dyDescent="0.25">
      <c r="C11" s="4" t="s">
        <v>10</v>
      </c>
      <c r="D11" s="7" t="s">
        <v>6</v>
      </c>
    </row>
    <row r="12" spans="3:6" ht="15.75" x14ac:dyDescent="0.25">
      <c r="C12" s="4" t="s">
        <v>11</v>
      </c>
      <c r="D12" s="7" t="s">
        <v>6</v>
      </c>
    </row>
    <row r="13" spans="3:6" ht="15.75" x14ac:dyDescent="0.25">
      <c r="C13" s="4" t="s">
        <v>12</v>
      </c>
      <c r="D13" s="8" t="s">
        <v>6</v>
      </c>
    </row>
    <row r="15" spans="3:6" ht="20.25" x14ac:dyDescent="0.3">
      <c r="C15" s="9" t="s">
        <v>13</v>
      </c>
      <c r="D15" s="1"/>
      <c r="E15" s="1"/>
      <c r="F15" s="1"/>
    </row>
    <row r="16" spans="3:6" ht="15.75" x14ac:dyDescent="0.25">
      <c r="C16" s="1"/>
      <c r="D16" s="1"/>
      <c r="E16" s="1"/>
      <c r="F16" s="1"/>
    </row>
    <row r="17" spans="2:7" ht="15.75" x14ac:dyDescent="0.25">
      <c r="C17" s="2" t="s">
        <v>14</v>
      </c>
      <c r="D17" s="1"/>
      <c r="E17" s="1"/>
      <c r="F17" s="1"/>
    </row>
    <row r="18" spans="2:7" ht="15.75" x14ac:dyDescent="0.25">
      <c r="C18" s="3" t="s">
        <v>1</v>
      </c>
      <c r="D18" s="3" t="s">
        <v>15</v>
      </c>
      <c r="E18" s="3" t="s">
        <v>16</v>
      </c>
      <c r="F18" s="3" t="s">
        <v>17</v>
      </c>
    </row>
    <row r="19" spans="2:7" ht="15.75" x14ac:dyDescent="0.25">
      <c r="C19" s="4" t="s">
        <v>6</v>
      </c>
      <c r="D19" s="10">
        <v>1</v>
      </c>
      <c r="E19" s="8">
        <v>1</v>
      </c>
      <c r="F19" s="4">
        <f>D19*E19</f>
        <v>1</v>
      </c>
    </row>
    <row r="20" spans="2:7" ht="15.75" x14ac:dyDescent="0.25">
      <c r="C20" s="4" t="s">
        <v>18</v>
      </c>
      <c r="D20" s="10">
        <v>2</v>
      </c>
      <c r="E20" s="8">
        <v>0</v>
      </c>
      <c r="F20" s="4">
        <f>D20*E20</f>
        <v>0</v>
      </c>
    </row>
    <row r="21" spans="2:7" ht="15.75" x14ac:dyDescent="0.25">
      <c r="C21" s="4" t="s">
        <v>4</v>
      </c>
      <c r="D21" s="10">
        <v>3</v>
      </c>
      <c r="E21" s="8">
        <v>1</v>
      </c>
      <c r="F21" s="4">
        <f>D21*E21</f>
        <v>3</v>
      </c>
    </row>
    <row r="22" spans="2:7" ht="15.75" x14ac:dyDescent="0.25">
      <c r="C22" s="1"/>
      <c r="D22" s="1"/>
      <c r="E22" s="11" t="s">
        <v>19</v>
      </c>
      <c r="F22" s="11">
        <v>4</v>
      </c>
    </row>
    <row r="23" spans="2:7" ht="15.75" x14ac:dyDescent="0.25">
      <c r="C23" s="2" t="s">
        <v>20</v>
      </c>
      <c r="D23" s="1"/>
      <c r="E23" s="1"/>
      <c r="F23" s="1"/>
    </row>
    <row r="24" spans="2:7" ht="15.75" x14ac:dyDescent="0.25">
      <c r="C24" s="3" t="s">
        <v>8</v>
      </c>
      <c r="D24" s="3" t="s">
        <v>15</v>
      </c>
      <c r="E24" s="3" t="s">
        <v>16</v>
      </c>
      <c r="F24" s="3" t="s">
        <v>17</v>
      </c>
    </row>
    <row r="25" spans="2:7" ht="15.75" x14ac:dyDescent="0.25">
      <c r="C25" s="4" t="s">
        <v>6</v>
      </c>
      <c r="D25" s="10">
        <v>5</v>
      </c>
      <c r="E25" s="8">
        <v>6</v>
      </c>
      <c r="F25" s="4">
        <f>D25*E25</f>
        <v>30</v>
      </c>
    </row>
    <row r="26" spans="2:7" ht="15.75" x14ac:dyDescent="0.25">
      <c r="C26" s="4" t="s">
        <v>18</v>
      </c>
      <c r="D26" s="10">
        <v>10</v>
      </c>
      <c r="E26" s="8">
        <v>0</v>
      </c>
      <c r="F26" s="4">
        <f>D26*E26</f>
        <v>0</v>
      </c>
    </row>
    <row r="27" spans="2:7" ht="15.75" x14ac:dyDescent="0.25">
      <c r="C27" s="4" t="s">
        <v>4</v>
      </c>
      <c r="D27" s="10">
        <v>15</v>
      </c>
      <c r="E27" s="8">
        <v>0</v>
      </c>
      <c r="F27" s="4">
        <f>D27*E27</f>
        <v>0</v>
      </c>
    </row>
    <row r="28" spans="2:7" ht="15.75" x14ac:dyDescent="0.25">
      <c r="C28" s="1"/>
      <c r="D28" s="12"/>
      <c r="E28" s="13" t="s">
        <v>21</v>
      </c>
      <c r="F28" s="13">
        <v>30</v>
      </c>
    </row>
    <row r="30" spans="2:7" ht="15.75" x14ac:dyDescent="0.25">
      <c r="B30" s="19" t="s">
        <v>22</v>
      </c>
      <c r="C30" s="19"/>
      <c r="D30" s="1"/>
      <c r="E30" s="1"/>
      <c r="F30" s="1"/>
      <c r="G30" s="1"/>
    </row>
    <row r="31" spans="2:7" ht="15.75" x14ac:dyDescent="0.25">
      <c r="B31" s="3" t="s">
        <v>23</v>
      </c>
      <c r="C31" s="3" t="s">
        <v>24</v>
      </c>
      <c r="D31" s="3" t="s">
        <v>15</v>
      </c>
      <c r="E31" s="3" t="s">
        <v>25</v>
      </c>
      <c r="F31" s="3" t="s">
        <v>17</v>
      </c>
    </row>
    <row r="32" spans="2:7" ht="15.75" x14ac:dyDescent="0.25">
      <c r="B32" s="10" t="s">
        <v>26</v>
      </c>
      <c r="C32" s="4" t="s">
        <v>28</v>
      </c>
      <c r="D32" s="10">
        <v>2</v>
      </c>
      <c r="E32" s="8">
        <v>4</v>
      </c>
      <c r="F32" s="4">
        <f t="shared" ref="F32:F40" si="0">D32*E32</f>
        <v>8</v>
      </c>
    </row>
    <row r="33" spans="2:7" ht="15.75" x14ac:dyDescent="0.25">
      <c r="B33" s="10" t="s">
        <v>27</v>
      </c>
      <c r="C33" s="4" t="s">
        <v>30</v>
      </c>
      <c r="D33" s="10">
        <v>2</v>
      </c>
      <c r="E33" s="8">
        <v>3</v>
      </c>
      <c r="F33" s="4">
        <f t="shared" si="0"/>
        <v>6</v>
      </c>
    </row>
    <row r="34" spans="2:7" ht="15.75" x14ac:dyDescent="0.25">
      <c r="B34" s="10" t="s">
        <v>29</v>
      </c>
      <c r="C34" s="4" t="s">
        <v>32</v>
      </c>
      <c r="D34" s="10">
        <v>1</v>
      </c>
      <c r="E34" s="8">
        <v>0</v>
      </c>
      <c r="F34" s="4">
        <f t="shared" si="0"/>
        <v>0</v>
      </c>
    </row>
    <row r="35" spans="2:7" ht="15.75" x14ac:dyDescent="0.25">
      <c r="B35" s="10" t="s">
        <v>31</v>
      </c>
      <c r="C35" s="4" t="s">
        <v>34</v>
      </c>
      <c r="D35" s="10">
        <v>1</v>
      </c>
      <c r="E35" s="8">
        <v>3</v>
      </c>
      <c r="F35" s="4">
        <f t="shared" si="0"/>
        <v>3</v>
      </c>
    </row>
    <row r="36" spans="2:7" ht="15.75" x14ac:dyDescent="0.25">
      <c r="B36" s="10" t="s">
        <v>33</v>
      </c>
      <c r="C36" s="4" t="s">
        <v>37</v>
      </c>
      <c r="D36" s="10">
        <v>0.5</v>
      </c>
      <c r="E36" s="8">
        <v>5</v>
      </c>
      <c r="F36" s="4">
        <f t="shared" si="0"/>
        <v>2.5</v>
      </c>
    </row>
    <row r="37" spans="2:7" ht="15.75" x14ac:dyDescent="0.25">
      <c r="B37" s="10" t="s">
        <v>35</v>
      </c>
      <c r="C37" s="4" t="s">
        <v>39</v>
      </c>
      <c r="D37" s="10">
        <v>2</v>
      </c>
      <c r="E37" s="8">
        <v>2</v>
      </c>
      <c r="F37" s="4">
        <f t="shared" si="0"/>
        <v>4</v>
      </c>
    </row>
    <row r="38" spans="2:7" ht="15.75" x14ac:dyDescent="0.25">
      <c r="B38" s="10" t="s">
        <v>36</v>
      </c>
      <c r="C38" s="4" t="s">
        <v>41</v>
      </c>
      <c r="D38" s="10">
        <v>1</v>
      </c>
      <c r="E38" s="8">
        <v>2</v>
      </c>
      <c r="F38" s="4">
        <f t="shared" si="0"/>
        <v>2</v>
      </c>
    </row>
    <row r="39" spans="2:7" ht="15.75" x14ac:dyDescent="0.25">
      <c r="B39" s="10" t="s">
        <v>38</v>
      </c>
      <c r="C39" s="4" t="s">
        <v>42</v>
      </c>
      <c r="D39" s="10">
        <v>1</v>
      </c>
      <c r="E39" s="8">
        <v>3</v>
      </c>
      <c r="F39" s="4">
        <f t="shared" si="0"/>
        <v>3</v>
      </c>
    </row>
    <row r="40" spans="2:7" ht="15.75" x14ac:dyDescent="0.25">
      <c r="B40" s="10" t="s">
        <v>40</v>
      </c>
      <c r="C40" s="4" t="s">
        <v>43</v>
      </c>
      <c r="D40" s="10">
        <v>1</v>
      </c>
      <c r="E40" s="8">
        <v>1</v>
      </c>
      <c r="F40" s="4">
        <f t="shared" si="0"/>
        <v>1</v>
      </c>
    </row>
    <row r="41" spans="2:7" ht="15.75" x14ac:dyDescent="0.25">
      <c r="B41" s="1"/>
      <c r="C41" s="20" t="s">
        <v>44</v>
      </c>
      <c r="D41" s="21"/>
      <c r="E41" s="4" t="s">
        <v>45</v>
      </c>
      <c r="F41" s="4">
        <v>29.5</v>
      </c>
    </row>
    <row r="42" spans="2:7" ht="15.75" x14ac:dyDescent="0.25">
      <c r="C42" s="18" t="s">
        <v>46</v>
      </c>
      <c r="D42" s="18"/>
      <c r="E42" s="11" t="s">
        <v>47</v>
      </c>
      <c r="F42" s="14">
        <f>0.6 +(0.01 * F41)</f>
        <v>0.89500000000000002</v>
      </c>
      <c r="G42" s="1"/>
    </row>
    <row r="44" spans="2:7" ht="15.75" x14ac:dyDescent="0.25">
      <c r="B44" s="19" t="s">
        <v>48</v>
      </c>
      <c r="C44" s="19"/>
      <c r="D44" s="1"/>
      <c r="E44" s="1"/>
      <c r="F44" s="1"/>
    </row>
    <row r="45" spans="2:7" ht="15.75" x14ac:dyDescent="0.25">
      <c r="B45" s="3" t="s">
        <v>23</v>
      </c>
      <c r="C45" s="3" t="s">
        <v>49</v>
      </c>
      <c r="D45" s="3" t="s">
        <v>15</v>
      </c>
      <c r="E45" s="3" t="s">
        <v>25</v>
      </c>
      <c r="F45" s="3" t="s">
        <v>17</v>
      </c>
    </row>
    <row r="46" spans="2:7" ht="15.75" x14ac:dyDescent="0.25">
      <c r="B46" s="10" t="s">
        <v>50</v>
      </c>
      <c r="C46" s="4" t="s">
        <v>51</v>
      </c>
      <c r="D46" s="10">
        <v>1</v>
      </c>
      <c r="E46" s="8">
        <v>2</v>
      </c>
      <c r="F46" s="4">
        <f t="shared" ref="F46:F48" si="1">D46*E46</f>
        <v>2</v>
      </c>
    </row>
    <row r="47" spans="2:7" ht="15.75" x14ac:dyDescent="0.25">
      <c r="B47" s="10" t="s">
        <v>52</v>
      </c>
      <c r="C47" s="4" t="s">
        <v>53</v>
      </c>
      <c r="D47" s="10">
        <v>1</v>
      </c>
      <c r="E47" s="8">
        <v>1</v>
      </c>
      <c r="F47" s="4">
        <f t="shared" si="1"/>
        <v>1</v>
      </c>
    </row>
    <row r="48" spans="2:7" ht="15.75" x14ac:dyDescent="0.25">
      <c r="B48" s="10" t="s">
        <v>54</v>
      </c>
      <c r="C48" s="4" t="s">
        <v>55</v>
      </c>
      <c r="D48" s="10">
        <v>2</v>
      </c>
      <c r="E48" s="8">
        <v>2</v>
      </c>
      <c r="F48" s="4">
        <f t="shared" si="1"/>
        <v>4</v>
      </c>
    </row>
    <row r="49" spans="2:6" ht="15.75" x14ac:dyDescent="0.25">
      <c r="B49" s="10" t="s">
        <v>56</v>
      </c>
      <c r="C49" s="4" t="s">
        <v>58</v>
      </c>
      <c r="D49" s="10">
        <v>2</v>
      </c>
      <c r="E49" s="8">
        <v>2</v>
      </c>
      <c r="F49" s="4">
        <f>D49*E49</f>
        <v>4</v>
      </c>
    </row>
    <row r="50" spans="2:6" ht="15.75" x14ac:dyDescent="0.25">
      <c r="B50" s="10" t="s">
        <v>57</v>
      </c>
      <c r="C50" s="4" t="s">
        <v>59</v>
      </c>
      <c r="D50" s="10">
        <v>2</v>
      </c>
      <c r="E50" s="8">
        <v>3</v>
      </c>
      <c r="F50" s="4">
        <f>D50*E50</f>
        <v>6</v>
      </c>
    </row>
    <row r="51" spans="2:6" ht="15.75" x14ac:dyDescent="0.25">
      <c r="B51" s="1"/>
      <c r="C51" s="18" t="s">
        <v>60</v>
      </c>
      <c r="D51" s="18"/>
      <c r="E51" s="15" t="s">
        <v>45</v>
      </c>
      <c r="F51" s="4">
        <v>17</v>
      </c>
    </row>
    <row r="52" spans="2:6" ht="15.75" x14ac:dyDescent="0.25">
      <c r="B52" s="1"/>
      <c r="C52" s="18" t="s">
        <v>46</v>
      </c>
      <c r="D52" s="18"/>
      <c r="E52" s="11" t="s">
        <v>47</v>
      </c>
      <c r="F52" s="14">
        <f>1.4+(-0.03*F51)</f>
        <v>0.8899999999999999</v>
      </c>
    </row>
    <row r="54" spans="2:6" ht="23.25" x14ac:dyDescent="0.35">
      <c r="C54" s="16" t="s">
        <v>61</v>
      </c>
      <c r="D54" s="17">
        <f>F28*F42*F52</f>
        <v>23.8965</v>
      </c>
      <c r="E54" s="1"/>
    </row>
  </sheetData>
  <mergeCells count="6">
    <mergeCell ref="C51:D51"/>
    <mergeCell ref="C52:D52"/>
    <mergeCell ref="B30:C30"/>
    <mergeCell ref="C41:D41"/>
    <mergeCell ref="C42:D42"/>
    <mergeCell ref="B44:C4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</dc:creator>
  <cp:lastModifiedBy>Carlos Henrique</cp:lastModifiedBy>
  <dcterms:created xsi:type="dcterms:W3CDTF">2021-10-18T23:01:59Z</dcterms:created>
  <dcterms:modified xsi:type="dcterms:W3CDTF">2021-10-18T23:34:11Z</dcterms:modified>
</cp:coreProperties>
</file>